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lamin\PycharmProjects\Systems-Engineering-ECE1140\full_integration\assets\"/>
    </mc:Choice>
  </mc:AlternateContent>
  <xr:revisionPtr revIDLastSave="0" documentId="13_ncr:1_{E9CF0475-38B4-4919-9554-BF9372C88E0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 i="1" l="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E19" i="1"/>
  <c r="I19" i="1" s="1"/>
  <c r="I18" i="1"/>
  <c r="I17" i="1"/>
  <c r="I16" i="1"/>
  <c r="I15" i="1"/>
  <c r="I14" i="1"/>
  <c r="I13" i="1"/>
  <c r="I12" i="1"/>
  <c r="I11" i="1"/>
  <c r="I10" i="1"/>
  <c r="I9" i="1"/>
  <c r="I8" i="1"/>
  <c r="I7" i="1"/>
  <c r="I6" i="1"/>
  <c r="I5" i="1"/>
  <c r="I4" i="1"/>
  <c r="I3" i="1"/>
  <c r="J3"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J2" i="1"/>
  <c r="I2" i="1"/>
  <c r="A38" i="1" l="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35" i="1"/>
  <c r="A36" i="1" s="1"/>
  <c r="A3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alcChain>
</file>

<file path=xl/sharedStrings.xml><?xml version="1.0" encoding="utf-8"?>
<sst xmlns="http://schemas.openxmlformats.org/spreadsheetml/2006/main" count="145" uniqueCount="56">
  <si>
    <t>Line</t>
  </si>
  <si>
    <t>Section</t>
  </si>
  <si>
    <t>Block Number</t>
  </si>
  <si>
    <t>Block Length (m)</t>
  </si>
  <si>
    <t>Block Grade (%)</t>
  </si>
  <si>
    <t>Speed Limit (Km/Hr)</t>
  </si>
  <si>
    <t>Infrastructure</t>
  </si>
  <si>
    <t>Station Side</t>
  </si>
  <si>
    <t>ELEVATION (M)</t>
  </si>
  <si>
    <t>CUMALTIVE ELEVATION (M)</t>
  </si>
  <si>
    <t>Red</t>
  </si>
  <si>
    <t>A</t>
  </si>
  <si>
    <t>B</t>
  </si>
  <si>
    <t>C</t>
  </si>
  <si>
    <t>STATION: SHADYSIDE</t>
  </si>
  <si>
    <t>Left/Right</t>
  </si>
  <si>
    <t>SWITCH TO/FROM YARD (75-yard)</t>
  </si>
  <si>
    <t>D</t>
  </si>
  <si>
    <t>RAILWAY CROSSING</t>
  </si>
  <si>
    <t>E</t>
  </si>
  <si>
    <t>SWITCH (15-16; 1-16)</t>
  </si>
  <si>
    <t>F</t>
  </si>
  <si>
    <t>STATION: HERRON AVE</t>
  </si>
  <si>
    <t>G</t>
  </si>
  <si>
    <t>STATION; SWISSVILLE</t>
  </si>
  <si>
    <t>H</t>
  </si>
  <si>
    <t>UNDERGROUND</t>
  </si>
  <si>
    <t>STATION; PENN STATION; UNDERGROUND</t>
  </si>
  <si>
    <t>SWITCH (27-28; 27-76); UNDERGROUND</t>
  </si>
  <si>
    <t>SWITCH (32-33; 33-72); UNDERGROUND</t>
  </si>
  <si>
    <t>STATION;     STEEL PLAZA; UNDERGROUND</t>
  </si>
  <si>
    <t>SWITCH (38-39; 38-71); UNDERGROUND</t>
  </si>
  <si>
    <t>SWITCH (43-44; 44-67); UNDERGROUND</t>
  </si>
  <si>
    <t>STATION; FIRST AVE; UNDERGROUND</t>
  </si>
  <si>
    <t>I</t>
  </si>
  <si>
    <t>STATION; STATION SQUARE</t>
  </si>
  <si>
    <t>J</t>
  </si>
  <si>
    <t>SWITCH (52-53; 52-66)</t>
  </si>
  <si>
    <t>K</t>
  </si>
  <si>
    <t>L</t>
  </si>
  <si>
    <t>STATION; SOUTH HILLS JUNCTION</t>
  </si>
  <si>
    <t>M</t>
  </si>
  <si>
    <t>N</t>
  </si>
  <si>
    <t>O</t>
  </si>
  <si>
    <t>P</t>
  </si>
  <si>
    <t>Q</t>
  </si>
  <si>
    <t>R</t>
  </si>
  <si>
    <t>S</t>
  </si>
  <si>
    <t>T</t>
  </si>
  <si>
    <t xml:space="preserve"> </t>
  </si>
  <si>
    <t>0001000110010000011001000001100100000110010000011001000001100100001001011000100101100010010110001001011000100101100010010110001000110000011110000001111000000110010001100100001100100000110010000001100100000011001000001100100000110010000001100100000110010000011001000001100100000110010000011110000001111000000110010000011001000001100100000110010000011001000001100100000110010000011001000001100100000111100000011110000001100100000110010000011001000001100100001001011000100101100010010110000110010000011001000001100100000101011100011001000001100100001001011000100101100010010110001001011000100101100010010110001001011000100101100010010110001001011000100101100010010110000110010000011001000001100100000110010000011001000001100100000110010000011001000001100100000110010010110110110110110110110110110110110110110110110111011111111111011011011111111111111111111111111111111111111111111111111111111111111111111111111111011011011011011011011011011011011011011011011011011011011011011011011011011011011000000000001111111100000111111111111111111111110000000000000011110011111111110000001000000001000010001000000000100000000010010000000000010000000000000000000000000000000000000000000000000000000000000000000000000000000000000000000000000011000000000000000000000000000000000000000000000000000000000000000000000000000000000000000000000000000000000111000000000000000000000000000000000000000000001000000000000000000000000000000000000000000000000000000000000000000000000000000011000000000000000011000000001100000011000000000000000000110000000000000000001100001100000000000000000000001100000000000000000000000000000000</t>
  </si>
  <si>
    <t>Beacon vector</t>
  </si>
  <si>
    <t>block vector</t>
  </si>
  <si>
    <t>grade vector</t>
  </si>
  <si>
    <t>0.5 1.0 1.5 2.0 1.5 1.0 0.5 0.0 0.0 0.0 -0.5 -1.0 -2.0 -1.25 -1.0 -0.5 -0.5 -0.06025 0.0 0.0 0.0 0.0 0.0 0.0 0.0 0.0 0.0 0.0 0.0 0.0 0.0 0.0 0.0 0.0 0.0 0.0 0.0 0.0 0.0 0.0 0.0 0.0 0.0 0.0 0.0 0.0 0.0 0.0 0.0 0.0 0.0 0.0 0.0 0.0 0.5 0.5 0.5 1.0 0.5 0.0 -0.5 -1.0 -1.0 -0.5 0.0 0.0 0.0 0.0 0.0 0.0 0.0 0.0 0.0 0.0 0.0 0.0</t>
  </si>
  <si>
    <t>1.0 2.0 3.0 4.0 5.0 6.0 7.0 8.0 9.0 10.0 11.0 12.0 13.0 14.0 15.0 16.0 17.0 18.0 19.0 20.0 21.0 22.0 23.0 24.0 25.0 26.0 27.0 28.0 29.0 30.0 31.0 32.0 33.0 34.0 35.0 36.0 37.0 38.0 39.0 40.0 41.0 42.0 43.0 44.0 45.0 46.0 47.0 48.0 49.0 50.0 51.0 52.0 53.0 54.0 55.0 56.0 57.0 58.0 59.0 60.0 61.0 62.0 63.0 64.0 65.0 66.0 67.0 68.0 69.0 70.0 71.0 72.0 73.0 74.0 75.0 76.0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</si>
</sst>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b/>
      <sz val="8"/>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xf numFmtId="0" fontId="3" fillId="0" borderId="0" xfId="0"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1" fontId="3" fillId="0" borderId="0" xfId="0" applyNumberFormat="1" applyFont="1"/>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4"/>
  <sheetViews>
    <sheetView tabSelected="1" topLeftCell="A63" workbookViewId="0">
      <selection activeCell="M78" sqref="M78"/>
    </sheetView>
  </sheetViews>
  <sheetFormatPr defaultColWidth="8.77734375" defaultRowHeight="15.6" x14ac:dyDescent="0.3"/>
  <cols>
    <col min="1" max="1" width="8.77734375" style="5"/>
    <col min="2" max="2" width="12.77734375" style="5" customWidth="1"/>
    <col min="3" max="3" width="8.44140625" style="5" customWidth="1"/>
    <col min="4" max="4" width="11" style="5" customWidth="1"/>
    <col min="5" max="5" width="10.5546875" style="5" customWidth="1"/>
    <col min="6" max="6" width="13.21875" style="5" customWidth="1"/>
    <col min="7" max="7" width="43" style="5" customWidth="1"/>
    <col min="8" max="8" width="10.88671875" style="5" customWidth="1"/>
    <col min="9" max="12" width="8.77734375" style="4"/>
    <col min="13" max="13" width="11.44140625" style="4" customWidth="1"/>
    <col min="14" max="16384" width="8.77734375" style="4"/>
  </cols>
  <sheetData>
    <row r="1" spans="1:13" ht="37.950000000000003" customHeight="1" x14ac:dyDescent="0.3">
      <c r="A1" s="1" t="s">
        <v>0</v>
      </c>
      <c r="B1" s="1" t="s">
        <v>1</v>
      </c>
      <c r="C1" s="2" t="s">
        <v>2</v>
      </c>
      <c r="D1" s="2" t="s">
        <v>3</v>
      </c>
      <c r="E1" s="2" t="s">
        <v>4</v>
      </c>
      <c r="F1" s="2" t="s">
        <v>5</v>
      </c>
      <c r="G1" s="1" t="s">
        <v>6</v>
      </c>
      <c r="H1" s="2" t="s">
        <v>7</v>
      </c>
      <c r="I1" s="3" t="s">
        <v>8</v>
      </c>
      <c r="J1" s="3" t="s">
        <v>9</v>
      </c>
      <c r="K1" s="3" t="s">
        <v>53</v>
      </c>
      <c r="L1" s="3" t="s">
        <v>52</v>
      </c>
      <c r="M1" s="3" t="s">
        <v>51</v>
      </c>
    </row>
    <row r="2" spans="1:13" x14ac:dyDescent="0.3">
      <c r="A2" s="5" t="s">
        <v>10</v>
      </c>
      <c r="B2" s="5" t="s">
        <v>11</v>
      </c>
      <c r="C2" s="6">
        <v>1</v>
      </c>
      <c r="D2" s="5">
        <v>50</v>
      </c>
      <c r="E2" s="5">
        <v>0.5</v>
      </c>
      <c r="F2" s="5">
        <v>40</v>
      </c>
      <c r="I2" s="7">
        <f>E2*D2/100</f>
        <v>0.25</v>
      </c>
      <c r="J2" s="7">
        <f>I2</f>
        <v>0.25</v>
      </c>
      <c r="K2" s="5" t="s">
        <v>54</v>
      </c>
      <c r="L2" s="4" t="s">
        <v>55</v>
      </c>
      <c r="M2" s="4" t="s">
        <v>50</v>
      </c>
    </row>
    <row r="3" spans="1:13" x14ac:dyDescent="0.3">
      <c r="A3" s="5" t="str">
        <f>A2</f>
        <v>Red</v>
      </c>
      <c r="B3" s="5" t="s">
        <v>11</v>
      </c>
      <c r="C3" s="5">
        <v>2</v>
      </c>
      <c r="D3" s="5">
        <v>50</v>
      </c>
      <c r="E3" s="5">
        <v>1</v>
      </c>
      <c r="F3" s="5">
        <v>40</v>
      </c>
      <c r="I3" s="7">
        <f t="shared" ref="I3:I66" si="0">E3*D3/100</f>
        <v>0.5</v>
      </c>
      <c r="J3" s="7">
        <f>I3+J2</f>
        <v>0.75</v>
      </c>
      <c r="K3" s="5"/>
      <c r="M3" s="4">
        <v>0</v>
      </c>
    </row>
    <row r="4" spans="1:13" x14ac:dyDescent="0.3">
      <c r="A4" s="5" t="str">
        <f t="shared" ref="A4:A67" si="1">A3</f>
        <v>Red</v>
      </c>
      <c r="B4" s="5" t="s">
        <v>11</v>
      </c>
      <c r="C4" s="5">
        <v>3</v>
      </c>
      <c r="D4" s="5">
        <v>50</v>
      </c>
      <c r="E4" s="5">
        <v>1.5</v>
      </c>
      <c r="F4" s="5">
        <v>40</v>
      </c>
      <c r="I4" s="7">
        <f t="shared" si="0"/>
        <v>0.75</v>
      </c>
      <c r="J4" s="7">
        <f t="shared" ref="J4:J67" si="2">I4+J3</f>
        <v>1.5</v>
      </c>
      <c r="L4" s="8"/>
      <c r="M4" s="4">
        <v>0</v>
      </c>
    </row>
    <row r="5" spans="1:13" x14ac:dyDescent="0.3">
      <c r="A5" s="5" t="str">
        <f t="shared" si="1"/>
        <v>Red</v>
      </c>
      <c r="B5" s="5" t="s">
        <v>12</v>
      </c>
      <c r="C5" s="6">
        <v>4</v>
      </c>
      <c r="D5" s="5">
        <v>50</v>
      </c>
      <c r="E5" s="5">
        <v>2</v>
      </c>
      <c r="F5" s="5">
        <v>40</v>
      </c>
      <c r="I5" s="7">
        <f t="shared" si="0"/>
        <v>1</v>
      </c>
      <c r="J5" s="7">
        <f t="shared" si="2"/>
        <v>2.5</v>
      </c>
      <c r="M5" s="4">
        <v>0</v>
      </c>
    </row>
    <row r="6" spans="1:13" x14ac:dyDescent="0.3">
      <c r="A6" s="5" t="str">
        <f t="shared" si="1"/>
        <v>Red</v>
      </c>
      <c r="B6" s="5" t="s">
        <v>12</v>
      </c>
      <c r="C6" s="5">
        <v>5</v>
      </c>
      <c r="D6" s="5">
        <v>50</v>
      </c>
      <c r="E6" s="5">
        <v>1.5</v>
      </c>
      <c r="F6" s="5">
        <v>40</v>
      </c>
      <c r="I6" s="7">
        <f t="shared" si="0"/>
        <v>0.75</v>
      </c>
      <c r="J6" s="7">
        <f t="shared" si="2"/>
        <v>3.25</v>
      </c>
      <c r="M6" s="4">
        <v>0</v>
      </c>
    </row>
    <row r="7" spans="1:13" x14ac:dyDescent="0.3">
      <c r="A7" s="5" t="str">
        <f t="shared" si="1"/>
        <v>Red</v>
      </c>
      <c r="B7" s="5" t="s">
        <v>12</v>
      </c>
      <c r="C7" s="5">
        <v>6</v>
      </c>
      <c r="D7" s="5">
        <v>50</v>
      </c>
      <c r="E7" s="5">
        <v>1</v>
      </c>
      <c r="F7" s="5">
        <v>40</v>
      </c>
      <c r="I7" s="7">
        <f t="shared" si="0"/>
        <v>0.5</v>
      </c>
      <c r="J7" s="7">
        <f t="shared" si="2"/>
        <v>3.75</v>
      </c>
      <c r="M7" s="4">
        <v>0</v>
      </c>
    </row>
    <row r="8" spans="1:13" x14ac:dyDescent="0.3">
      <c r="A8" s="5" t="str">
        <f t="shared" si="1"/>
        <v>Red</v>
      </c>
      <c r="B8" s="5" t="s">
        <v>13</v>
      </c>
      <c r="C8" s="6">
        <v>7</v>
      </c>
      <c r="D8" s="5">
        <v>75</v>
      </c>
      <c r="E8" s="5">
        <v>0.5</v>
      </c>
      <c r="F8" s="5">
        <v>40</v>
      </c>
      <c r="G8" s="9" t="s">
        <v>14</v>
      </c>
      <c r="H8" s="5" t="s">
        <v>15</v>
      </c>
      <c r="I8" s="7">
        <f t="shared" si="0"/>
        <v>0.375</v>
      </c>
      <c r="J8" s="7">
        <f t="shared" si="2"/>
        <v>4.125</v>
      </c>
      <c r="M8" s="4">
        <v>0</v>
      </c>
    </row>
    <row r="9" spans="1:13" x14ac:dyDescent="0.3">
      <c r="A9" s="5" t="str">
        <f t="shared" si="1"/>
        <v>Red</v>
      </c>
      <c r="B9" s="5" t="s">
        <v>13</v>
      </c>
      <c r="C9" s="5">
        <v>8</v>
      </c>
      <c r="D9" s="5">
        <v>75</v>
      </c>
      <c r="E9" s="5">
        <v>0</v>
      </c>
      <c r="F9" s="5">
        <v>40</v>
      </c>
      <c r="I9" s="7">
        <f t="shared" si="0"/>
        <v>0</v>
      </c>
      <c r="J9" s="7">
        <f t="shared" si="2"/>
        <v>4.125</v>
      </c>
      <c r="M9" s="4">
        <v>0</v>
      </c>
    </row>
    <row r="10" spans="1:13" x14ac:dyDescent="0.3">
      <c r="A10" s="5" t="str">
        <f t="shared" si="1"/>
        <v>Red</v>
      </c>
      <c r="B10" s="5" t="s">
        <v>13</v>
      </c>
      <c r="C10" s="5">
        <v>9</v>
      </c>
      <c r="D10" s="5">
        <v>75</v>
      </c>
      <c r="E10" s="5">
        <v>0</v>
      </c>
      <c r="F10" s="5">
        <v>40</v>
      </c>
      <c r="G10" s="9" t="s">
        <v>16</v>
      </c>
      <c r="I10" s="7">
        <f t="shared" si="0"/>
        <v>0</v>
      </c>
      <c r="J10" s="7">
        <f t="shared" si="2"/>
        <v>4.125</v>
      </c>
      <c r="M10" s="4">
        <v>0</v>
      </c>
    </row>
    <row r="11" spans="1:13" x14ac:dyDescent="0.3">
      <c r="A11" s="5" t="str">
        <f t="shared" si="1"/>
        <v>Red</v>
      </c>
      <c r="B11" s="5" t="s">
        <v>17</v>
      </c>
      <c r="C11" s="6">
        <v>10</v>
      </c>
      <c r="D11" s="5">
        <v>75</v>
      </c>
      <c r="E11" s="5">
        <v>0</v>
      </c>
      <c r="F11" s="5">
        <v>40</v>
      </c>
      <c r="I11" s="7">
        <f t="shared" si="0"/>
        <v>0</v>
      </c>
      <c r="J11" s="7">
        <f t="shared" si="2"/>
        <v>4.125</v>
      </c>
      <c r="M11" s="4">
        <v>0</v>
      </c>
    </row>
    <row r="12" spans="1:13" x14ac:dyDescent="0.3">
      <c r="A12" s="5" t="str">
        <f t="shared" si="1"/>
        <v>Red</v>
      </c>
      <c r="B12" s="5" t="s">
        <v>17</v>
      </c>
      <c r="C12" s="5">
        <v>11</v>
      </c>
      <c r="D12" s="5">
        <v>75</v>
      </c>
      <c r="E12" s="5">
        <v>-0.5</v>
      </c>
      <c r="F12" s="5">
        <v>40</v>
      </c>
      <c r="G12" s="5" t="s">
        <v>18</v>
      </c>
      <c r="I12" s="7">
        <f t="shared" si="0"/>
        <v>-0.375</v>
      </c>
      <c r="J12" s="7">
        <f t="shared" si="2"/>
        <v>3.75</v>
      </c>
      <c r="M12" s="4">
        <v>0</v>
      </c>
    </row>
    <row r="13" spans="1:13" x14ac:dyDescent="0.3">
      <c r="A13" s="5" t="str">
        <f t="shared" si="1"/>
        <v>Red</v>
      </c>
      <c r="B13" s="5" t="s">
        <v>17</v>
      </c>
      <c r="C13" s="6">
        <v>12</v>
      </c>
      <c r="D13" s="5">
        <v>75</v>
      </c>
      <c r="E13" s="5">
        <v>-1</v>
      </c>
      <c r="F13" s="5">
        <v>40</v>
      </c>
      <c r="I13" s="7">
        <f t="shared" si="0"/>
        <v>-0.75</v>
      </c>
      <c r="J13" s="7">
        <f t="shared" si="2"/>
        <v>3</v>
      </c>
      <c r="M13" s="4">
        <v>0</v>
      </c>
    </row>
    <row r="14" spans="1:13" x14ac:dyDescent="0.3">
      <c r="A14" s="5" t="str">
        <f t="shared" si="1"/>
        <v>Red</v>
      </c>
      <c r="B14" s="5" t="s">
        <v>19</v>
      </c>
      <c r="C14" s="5">
        <v>13</v>
      </c>
      <c r="D14" s="5">
        <v>70</v>
      </c>
      <c r="E14" s="5">
        <v>-2</v>
      </c>
      <c r="F14" s="5">
        <v>40</v>
      </c>
      <c r="I14" s="7">
        <f t="shared" si="0"/>
        <v>-1.4</v>
      </c>
      <c r="J14" s="7">
        <f t="shared" si="2"/>
        <v>1.6</v>
      </c>
      <c r="M14" s="4">
        <v>0</v>
      </c>
    </row>
    <row r="15" spans="1:13" x14ac:dyDescent="0.3">
      <c r="A15" s="5" t="str">
        <f t="shared" si="1"/>
        <v>Red</v>
      </c>
      <c r="B15" s="5" t="s">
        <v>19</v>
      </c>
      <c r="C15" s="5">
        <v>14</v>
      </c>
      <c r="D15" s="5">
        <v>60</v>
      </c>
      <c r="E15" s="5">
        <v>-1.25</v>
      </c>
      <c r="F15" s="5">
        <v>40</v>
      </c>
      <c r="I15" s="7">
        <f t="shared" si="0"/>
        <v>-0.75</v>
      </c>
      <c r="J15" s="7">
        <f t="shared" si="2"/>
        <v>0.85000000000000009</v>
      </c>
      <c r="M15" s="4">
        <v>0</v>
      </c>
    </row>
    <row r="16" spans="1:13" x14ac:dyDescent="0.3">
      <c r="A16" s="5" t="str">
        <f t="shared" si="1"/>
        <v>Red</v>
      </c>
      <c r="B16" s="5" t="s">
        <v>19</v>
      </c>
      <c r="C16" s="6">
        <v>15</v>
      </c>
      <c r="D16" s="5">
        <v>60</v>
      </c>
      <c r="E16" s="5">
        <v>-1</v>
      </c>
      <c r="F16" s="5">
        <v>40</v>
      </c>
      <c r="G16" s="5" t="s">
        <v>20</v>
      </c>
      <c r="I16" s="7">
        <f t="shared" si="0"/>
        <v>-0.6</v>
      </c>
      <c r="J16" s="7">
        <f t="shared" si="2"/>
        <v>0.25000000000000011</v>
      </c>
      <c r="M16" s="4">
        <v>0</v>
      </c>
    </row>
    <row r="17" spans="1:13" x14ac:dyDescent="0.3">
      <c r="A17" s="5" t="str">
        <f t="shared" si="1"/>
        <v>Red</v>
      </c>
      <c r="B17" s="5" t="s">
        <v>21</v>
      </c>
      <c r="C17" s="5">
        <v>16</v>
      </c>
      <c r="D17" s="5">
        <v>50</v>
      </c>
      <c r="E17" s="5">
        <v>-0.5</v>
      </c>
      <c r="F17" s="5">
        <v>40</v>
      </c>
      <c r="G17" s="9" t="s">
        <v>22</v>
      </c>
      <c r="H17" s="5" t="s">
        <v>15</v>
      </c>
      <c r="I17" s="7">
        <f t="shared" si="0"/>
        <v>-0.25</v>
      </c>
      <c r="J17" s="7">
        <f t="shared" si="2"/>
        <v>0</v>
      </c>
      <c r="M17" s="4">
        <v>0</v>
      </c>
    </row>
    <row r="18" spans="1:13" x14ac:dyDescent="0.3">
      <c r="A18" s="5" t="str">
        <f t="shared" si="1"/>
        <v>Red</v>
      </c>
      <c r="B18" s="5" t="s">
        <v>21</v>
      </c>
      <c r="C18" s="6">
        <v>17</v>
      </c>
      <c r="D18" s="5">
        <v>200</v>
      </c>
      <c r="E18" s="5">
        <v>-0.5</v>
      </c>
      <c r="F18" s="5">
        <v>55</v>
      </c>
      <c r="I18" s="7">
        <f>E18*D18/100</f>
        <v>-1</v>
      </c>
      <c r="J18" s="7">
        <f t="shared" si="2"/>
        <v>-1</v>
      </c>
      <c r="M18" s="4">
        <v>0</v>
      </c>
    </row>
    <row r="19" spans="1:13" x14ac:dyDescent="0.3">
      <c r="A19" s="5" t="str">
        <f t="shared" si="1"/>
        <v>Red</v>
      </c>
      <c r="B19" s="5" t="s">
        <v>21</v>
      </c>
      <c r="C19" s="5">
        <v>18</v>
      </c>
      <c r="D19" s="5">
        <v>400</v>
      </c>
      <c r="E19" s="5">
        <f>-100*0.241/400</f>
        <v>-6.0249999999999998E-2</v>
      </c>
      <c r="F19" s="5">
        <v>70</v>
      </c>
      <c r="I19" s="7">
        <f t="shared" si="0"/>
        <v>-0.24099999999999999</v>
      </c>
      <c r="J19" s="7">
        <f t="shared" si="2"/>
        <v>-1.2410000000000001</v>
      </c>
      <c r="M19" s="4">
        <v>0</v>
      </c>
    </row>
    <row r="20" spans="1:13" x14ac:dyDescent="0.3">
      <c r="A20" s="5" t="str">
        <f t="shared" si="1"/>
        <v>Red</v>
      </c>
      <c r="B20" s="5" t="s">
        <v>21</v>
      </c>
      <c r="C20" s="5">
        <v>19</v>
      </c>
      <c r="D20" s="5">
        <v>400</v>
      </c>
      <c r="E20" s="5">
        <v>0</v>
      </c>
      <c r="F20" s="5">
        <v>70</v>
      </c>
      <c r="I20" s="7">
        <f t="shared" si="0"/>
        <v>0</v>
      </c>
      <c r="J20" s="7">
        <f t="shared" si="2"/>
        <v>-1.2410000000000001</v>
      </c>
      <c r="M20" s="4">
        <v>0</v>
      </c>
    </row>
    <row r="21" spans="1:13" x14ac:dyDescent="0.3">
      <c r="A21" s="5" t="str">
        <f t="shared" si="1"/>
        <v>Red</v>
      </c>
      <c r="B21" s="5" t="s">
        <v>21</v>
      </c>
      <c r="C21" s="6">
        <v>20</v>
      </c>
      <c r="D21" s="5">
        <v>200</v>
      </c>
      <c r="E21" s="5">
        <v>0</v>
      </c>
      <c r="F21" s="5">
        <v>70</v>
      </c>
      <c r="I21" s="7">
        <f t="shared" si="0"/>
        <v>0</v>
      </c>
      <c r="J21" s="7">
        <f t="shared" si="2"/>
        <v>-1.2410000000000001</v>
      </c>
      <c r="M21" s="4">
        <v>0</v>
      </c>
    </row>
    <row r="22" spans="1:13" x14ac:dyDescent="0.3">
      <c r="A22" s="5" t="str">
        <f t="shared" si="1"/>
        <v>Red</v>
      </c>
      <c r="B22" s="5" t="s">
        <v>23</v>
      </c>
      <c r="C22" s="5">
        <v>21</v>
      </c>
      <c r="D22" s="5">
        <v>100</v>
      </c>
      <c r="E22" s="5">
        <v>0</v>
      </c>
      <c r="F22" s="5">
        <v>55</v>
      </c>
      <c r="G22" s="9" t="s">
        <v>24</v>
      </c>
      <c r="H22" s="5" t="s">
        <v>15</v>
      </c>
      <c r="I22" s="7">
        <f t="shared" si="0"/>
        <v>0</v>
      </c>
      <c r="J22" s="7">
        <f t="shared" si="2"/>
        <v>-1.2410000000000001</v>
      </c>
      <c r="M22" s="4">
        <v>0</v>
      </c>
    </row>
    <row r="23" spans="1:13" x14ac:dyDescent="0.3">
      <c r="A23" s="5" t="str">
        <f t="shared" si="1"/>
        <v>Red</v>
      </c>
      <c r="B23" s="5" t="s">
        <v>23</v>
      </c>
      <c r="C23" s="6">
        <v>22</v>
      </c>
      <c r="D23" s="5">
        <v>100</v>
      </c>
      <c r="E23" s="5">
        <v>0</v>
      </c>
      <c r="F23" s="5">
        <v>55</v>
      </c>
      <c r="I23" s="7">
        <f t="shared" si="0"/>
        <v>0</v>
      </c>
      <c r="J23" s="7">
        <f t="shared" si="2"/>
        <v>-1.2410000000000001</v>
      </c>
      <c r="M23" s="4">
        <v>0</v>
      </c>
    </row>
    <row r="24" spans="1:13" x14ac:dyDescent="0.3">
      <c r="A24" s="5" t="str">
        <f t="shared" si="1"/>
        <v>Red</v>
      </c>
      <c r="B24" s="5" t="s">
        <v>23</v>
      </c>
      <c r="C24" s="5">
        <v>23</v>
      </c>
      <c r="D24" s="5">
        <v>100</v>
      </c>
      <c r="E24" s="5">
        <v>0</v>
      </c>
      <c r="F24" s="5">
        <v>55</v>
      </c>
      <c r="I24" s="7">
        <f t="shared" si="0"/>
        <v>0</v>
      </c>
      <c r="J24" s="7">
        <f t="shared" si="2"/>
        <v>-1.2410000000000001</v>
      </c>
      <c r="M24" s="4">
        <v>0</v>
      </c>
    </row>
    <row r="25" spans="1:13" x14ac:dyDescent="0.3">
      <c r="A25" s="5" t="str">
        <f t="shared" si="1"/>
        <v>Red</v>
      </c>
      <c r="B25" s="5" t="s">
        <v>25</v>
      </c>
      <c r="C25" s="5">
        <v>24</v>
      </c>
      <c r="D25" s="5">
        <v>50</v>
      </c>
      <c r="E25" s="5">
        <v>0</v>
      </c>
      <c r="F25" s="5">
        <v>70</v>
      </c>
      <c r="G25" s="5" t="s">
        <v>26</v>
      </c>
      <c r="I25" s="7">
        <f t="shared" si="0"/>
        <v>0</v>
      </c>
      <c r="J25" s="7">
        <f t="shared" si="2"/>
        <v>-1.2410000000000001</v>
      </c>
      <c r="M25" s="4">
        <v>0</v>
      </c>
    </row>
    <row r="26" spans="1:13" x14ac:dyDescent="0.3">
      <c r="A26" s="5" t="str">
        <f t="shared" si="1"/>
        <v>Red</v>
      </c>
      <c r="B26" s="5" t="s">
        <v>25</v>
      </c>
      <c r="C26" s="6">
        <v>25</v>
      </c>
      <c r="D26" s="5">
        <v>50</v>
      </c>
      <c r="E26" s="5">
        <v>0</v>
      </c>
      <c r="F26" s="5">
        <v>70</v>
      </c>
      <c r="G26" s="9" t="s">
        <v>27</v>
      </c>
      <c r="H26" s="5" t="s">
        <v>15</v>
      </c>
      <c r="I26" s="7">
        <f t="shared" si="0"/>
        <v>0</v>
      </c>
      <c r="J26" s="7">
        <f t="shared" si="2"/>
        <v>-1.2410000000000001</v>
      </c>
      <c r="M26" s="4">
        <v>0</v>
      </c>
    </row>
    <row r="27" spans="1:13" x14ac:dyDescent="0.3">
      <c r="A27" s="5" t="str">
        <f t="shared" si="1"/>
        <v>Red</v>
      </c>
      <c r="B27" s="5" t="s">
        <v>25</v>
      </c>
      <c r="C27" s="5">
        <v>26</v>
      </c>
      <c r="D27" s="5">
        <v>50</v>
      </c>
      <c r="E27" s="5">
        <v>0</v>
      </c>
      <c r="F27" s="5">
        <v>70</v>
      </c>
      <c r="G27" s="5" t="s">
        <v>26</v>
      </c>
      <c r="I27" s="7">
        <f t="shared" si="0"/>
        <v>0</v>
      </c>
      <c r="J27" s="7">
        <f t="shared" si="2"/>
        <v>-1.2410000000000001</v>
      </c>
      <c r="M27" s="4">
        <v>0</v>
      </c>
    </row>
    <row r="28" spans="1:13" x14ac:dyDescent="0.3">
      <c r="A28" s="5" t="str">
        <f t="shared" si="1"/>
        <v>Red</v>
      </c>
      <c r="B28" s="5" t="s">
        <v>25</v>
      </c>
      <c r="C28" s="6">
        <v>27</v>
      </c>
      <c r="D28" s="5">
        <v>50</v>
      </c>
      <c r="E28" s="5">
        <v>0</v>
      </c>
      <c r="F28" s="5">
        <v>70</v>
      </c>
      <c r="G28" s="9" t="s">
        <v>28</v>
      </c>
      <c r="I28" s="7">
        <f t="shared" si="0"/>
        <v>0</v>
      </c>
      <c r="J28" s="7">
        <f t="shared" si="2"/>
        <v>-1.2410000000000001</v>
      </c>
      <c r="M28" s="4">
        <v>0</v>
      </c>
    </row>
    <row r="29" spans="1:13" x14ac:dyDescent="0.3">
      <c r="A29" s="5" t="str">
        <f t="shared" si="1"/>
        <v>Red</v>
      </c>
      <c r="B29" s="5" t="s">
        <v>25</v>
      </c>
      <c r="C29" s="5">
        <v>28</v>
      </c>
      <c r="D29" s="5">
        <v>50</v>
      </c>
      <c r="E29" s="5">
        <v>0</v>
      </c>
      <c r="F29" s="5">
        <v>70</v>
      </c>
      <c r="G29" s="5" t="s">
        <v>26</v>
      </c>
      <c r="I29" s="7">
        <f t="shared" si="0"/>
        <v>0</v>
      </c>
      <c r="J29" s="7">
        <f t="shared" si="2"/>
        <v>-1.2410000000000001</v>
      </c>
      <c r="M29" s="4">
        <v>0</v>
      </c>
    </row>
    <row r="30" spans="1:13" x14ac:dyDescent="0.3">
      <c r="A30" s="5" t="str">
        <f t="shared" si="1"/>
        <v>Red</v>
      </c>
      <c r="B30" s="5" t="s">
        <v>25</v>
      </c>
      <c r="C30" s="5">
        <v>29</v>
      </c>
      <c r="D30" s="5">
        <v>60</v>
      </c>
      <c r="E30" s="5">
        <v>0</v>
      </c>
      <c r="F30" s="5">
        <v>70</v>
      </c>
      <c r="G30" s="5" t="s">
        <v>26</v>
      </c>
      <c r="I30" s="7">
        <f t="shared" si="0"/>
        <v>0</v>
      </c>
      <c r="J30" s="7">
        <f t="shared" si="2"/>
        <v>-1.2410000000000001</v>
      </c>
      <c r="M30" s="4">
        <v>0</v>
      </c>
    </row>
    <row r="31" spans="1:13" x14ac:dyDescent="0.3">
      <c r="A31" s="5" t="str">
        <f t="shared" si="1"/>
        <v>Red</v>
      </c>
      <c r="B31" s="5" t="s">
        <v>25</v>
      </c>
      <c r="C31" s="6">
        <v>30</v>
      </c>
      <c r="D31" s="5">
        <v>60</v>
      </c>
      <c r="E31" s="5">
        <v>0</v>
      </c>
      <c r="F31" s="5">
        <v>70</v>
      </c>
      <c r="G31" s="5" t="s">
        <v>26</v>
      </c>
      <c r="I31" s="7">
        <f t="shared" si="0"/>
        <v>0</v>
      </c>
      <c r="J31" s="7">
        <f t="shared" si="2"/>
        <v>-1.2410000000000001</v>
      </c>
      <c r="M31" s="4">
        <v>0</v>
      </c>
    </row>
    <row r="32" spans="1:13" x14ac:dyDescent="0.3">
      <c r="A32" s="5" t="str">
        <f t="shared" si="1"/>
        <v>Red</v>
      </c>
      <c r="B32" s="5" t="s">
        <v>25</v>
      </c>
      <c r="C32" s="5">
        <v>31</v>
      </c>
      <c r="D32" s="5">
        <v>50</v>
      </c>
      <c r="E32" s="5">
        <v>0</v>
      </c>
      <c r="F32" s="5">
        <v>70</v>
      </c>
      <c r="G32" s="5" t="s">
        <v>26</v>
      </c>
      <c r="I32" s="7">
        <f t="shared" si="0"/>
        <v>0</v>
      </c>
      <c r="J32" s="7">
        <f t="shared" si="2"/>
        <v>-1.2410000000000001</v>
      </c>
      <c r="M32" s="4">
        <v>0</v>
      </c>
    </row>
    <row r="33" spans="1:13" x14ac:dyDescent="0.3">
      <c r="A33" s="5" t="str">
        <f t="shared" si="1"/>
        <v>Red</v>
      </c>
      <c r="B33" s="5" t="s">
        <v>25</v>
      </c>
      <c r="C33" s="6">
        <v>32</v>
      </c>
      <c r="D33" s="5">
        <v>50</v>
      </c>
      <c r="E33" s="5">
        <v>0</v>
      </c>
      <c r="F33" s="5">
        <v>70</v>
      </c>
      <c r="G33" s="9" t="s">
        <v>29</v>
      </c>
      <c r="I33" s="7">
        <f t="shared" si="0"/>
        <v>0</v>
      </c>
      <c r="J33" s="7">
        <f t="shared" si="2"/>
        <v>-1.2410000000000001</v>
      </c>
      <c r="M33" s="4">
        <v>0</v>
      </c>
    </row>
    <row r="34" spans="1:13" x14ac:dyDescent="0.3">
      <c r="A34" s="5" t="str">
        <f t="shared" si="1"/>
        <v>Red</v>
      </c>
      <c r="B34" s="5" t="s">
        <v>25</v>
      </c>
      <c r="C34" s="5">
        <v>33</v>
      </c>
      <c r="D34" s="5">
        <v>50</v>
      </c>
      <c r="E34" s="5">
        <v>0</v>
      </c>
      <c r="F34" s="5">
        <v>70</v>
      </c>
      <c r="G34" s="5" t="s">
        <v>26</v>
      </c>
      <c r="I34" s="7">
        <f t="shared" si="0"/>
        <v>0</v>
      </c>
      <c r="J34" s="7">
        <f t="shared" si="2"/>
        <v>-1.2410000000000001</v>
      </c>
      <c r="M34" s="4">
        <v>0</v>
      </c>
    </row>
    <row r="35" spans="1:13" x14ac:dyDescent="0.3">
      <c r="A35" s="5" t="str">
        <f t="shared" si="1"/>
        <v>Red</v>
      </c>
      <c r="B35" s="5" t="s">
        <v>25</v>
      </c>
      <c r="C35" s="5">
        <v>34</v>
      </c>
      <c r="D35" s="5">
        <v>50</v>
      </c>
      <c r="E35" s="5">
        <v>0</v>
      </c>
      <c r="F35" s="5">
        <v>70</v>
      </c>
      <c r="G35" s="5" t="s">
        <v>26</v>
      </c>
      <c r="I35" s="7">
        <f t="shared" si="0"/>
        <v>0</v>
      </c>
      <c r="J35" s="7">
        <f t="shared" si="2"/>
        <v>-1.2410000000000001</v>
      </c>
      <c r="M35" s="4">
        <v>0</v>
      </c>
    </row>
    <row r="36" spans="1:13" x14ac:dyDescent="0.3">
      <c r="A36" s="5" t="str">
        <f t="shared" si="1"/>
        <v>Red</v>
      </c>
      <c r="B36" s="5" t="s">
        <v>25</v>
      </c>
      <c r="C36" s="6">
        <v>35</v>
      </c>
      <c r="D36" s="5">
        <v>50</v>
      </c>
      <c r="E36" s="5">
        <v>0</v>
      </c>
      <c r="F36" s="5">
        <v>70</v>
      </c>
      <c r="G36" s="9" t="s">
        <v>30</v>
      </c>
      <c r="H36" s="5" t="s">
        <v>15</v>
      </c>
      <c r="I36" s="7">
        <f t="shared" si="0"/>
        <v>0</v>
      </c>
      <c r="J36" s="7">
        <f t="shared" si="2"/>
        <v>-1.2410000000000001</v>
      </c>
      <c r="M36" s="4">
        <v>0</v>
      </c>
    </row>
    <row r="37" spans="1:13" x14ac:dyDescent="0.3">
      <c r="A37" s="5" t="str">
        <f t="shared" si="1"/>
        <v>Red</v>
      </c>
      <c r="B37" s="5" t="s">
        <v>25</v>
      </c>
      <c r="C37" s="5">
        <v>36</v>
      </c>
      <c r="D37" s="5">
        <v>50</v>
      </c>
      <c r="E37" s="5">
        <v>0</v>
      </c>
      <c r="F37" s="5">
        <v>70</v>
      </c>
      <c r="G37" s="5" t="s">
        <v>26</v>
      </c>
      <c r="I37" s="7">
        <f t="shared" si="0"/>
        <v>0</v>
      </c>
      <c r="J37" s="7">
        <f t="shared" si="2"/>
        <v>-1.2410000000000001</v>
      </c>
      <c r="M37" s="4">
        <v>0</v>
      </c>
    </row>
    <row r="38" spans="1:13" x14ac:dyDescent="0.3">
      <c r="A38" s="5" t="str">
        <f>A34</f>
        <v>Red</v>
      </c>
      <c r="B38" s="5" t="s">
        <v>25</v>
      </c>
      <c r="C38" s="5">
        <v>37</v>
      </c>
      <c r="D38" s="5">
        <v>50</v>
      </c>
      <c r="E38" s="5">
        <v>0</v>
      </c>
      <c r="F38" s="5">
        <v>70</v>
      </c>
      <c r="G38" s="5" t="s">
        <v>26</v>
      </c>
      <c r="I38" s="7">
        <f t="shared" si="0"/>
        <v>0</v>
      </c>
      <c r="J38" s="7">
        <f t="shared" si="2"/>
        <v>-1.2410000000000001</v>
      </c>
      <c r="M38" s="4">
        <v>0</v>
      </c>
    </row>
    <row r="39" spans="1:13" x14ac:dyDescent="0.3">
      <c r="A39" s="5" t="str">
        <f t="shared" si="1"/>
        <v>Red</v>
      </c>
      <c r="B39" s="5" t="s">
        <v>25</v>
      </c>
      <c r="C39" s="6">
        <v>38</v>
      </c>
      <c r="D39" s="5">
        <v>50</v>
      </c>
      <c r="E39" s="5">
        <v>0</v>
      </c>
      <c r="F39" s="5">
        <v>70</v>
      </c>
      <c r="G39" s="9" t="s">
        <v>31</v>
      </c>
      <c r="I39" s="7">
        <f t="shared" si="0"/>
        <v>0</v>
      </c>
      <c r="J39" s="7">
        <f t="shared" si="2"/>
        <v>-1.2410000000000001</v>
      </c>
      <c r="M39" s="4">
        <v>0</v>
      </c>
    </row>
    <row r="40" spans="1:13" x14ac:dyDescent="0.3">
      <c r="A40" s="5" t="str">
        <f t="shared" si="1"/>
        <v>Red</v>
      </c>
      <c r="B40" s="5" t="s">
        <v>25</v>
      </c>
      <c r="C40" s="5">
        <v>39</v>
      </c>
      <c r="D40" s="5">
        <v>50</v>
      </c>
      <c r="E40" s="5">
        <v>0</v>
      </c>
      <c r="F40" s="5">
        <v>70</v>
      </c>
      <c r="G40" s="5" t="s">
        <v>26</v>
      </c>
      <c r="I40" s="7">
        <f t="shared" si="0"/>
        <v>0</v>
      </c>
      <c r="J40" s="7">
        <f t="shared" si="2"/>
        <v>-1.2410000000000001</v>
      </c>
      <c r="M40" s="4">
        <v>0</v>
      </c>
    </row>
    <row r="41" spans="1:13" x14ac:dyDescent="0.3">
      <c r="A41" s="5" t="str">
        <f t="shared" si="1"/>
        <v>Red</v>
      </c>
      <c r="B41" s="5" t="s">
        <v>25</v>
      </c>
      <c r="C41" s="5">
        <v>40</v>
      </c>
      <c r="D41" s="5">
        <v>60</v>
      </c>
      <c r="E41" s="5">
        <v>0</v>
      </c>
      <c r="F41" s="5">
        <v>70</v>
      </c>
      <c r="G41" s="5" t="s">
        <v>26</v>
      </c>
      <c r="I41" s="7">
        <f t="shared" si="0"/>
        <v>0</v>
      </c>
      <c r="J41" s="7">
        <f t="shared" si="2"/>
        <v>-1.2410000000000001</v>
      </c>
      <c r="M41" s="4">
        <v>0</v>
      </c>
    </row>
    <row r="42" spans="1:13" x14ac:dyDescent="0.3">
      <c r="A42" s="5" t="str">
        <f t="shared" si="1"/>
        <v>Red</v>
      </c>
      <c r="B42" s="5" t="s">
        <v>25</v>
      </c>
      <c r="C42" s="6">
        <v>41</v>
      </c>
      <c r="D42" s="5">
        <v>60</v>
      </c>
      <c r="E42" s="5">
        <v>0</v>
      </c>
      <c r="F42" s="5">
        <v>70</v>
      </c>
      <c r="G42" s="5" t="s">
        <v>26</v>
      </c>
      <c r="I42" s="7">
        <f t="shared" si="0"/>
        <v>0</v>
      </c>
      <c r="J42" s="7">
        <f t="shared" si="2"/>
        <v>-1.2410000000000001</v>
      </c>
      <c r="M42" s="4">
        <v>0</v>
      </c>
    </row>
    <row r="43" spans="1:13" x14ac:dyDescent="0.3">
      <c r="A43" s="5" t="str">
        <f t="shared" si="1"/>
        <v>Red</v>
      </c>
      <c r="B43" s="5" t="s">
        <v>25</v>
      </c>
      <c r="C43" s="5">
        <v>42</v>
      </c>
      <c r="D43" s="5">
        <v>50</v>
      </c>
      <c r="E43" s="5">
        <v>0</v>
      </c>
      <c r="F43" s="5">
        <v>70</v>
      </c>
      <c r="G43" s="5" t="s">
        <v>26</v>
      </c>
      <c r="I43" s="7">
        <f t="shared" si="0"/>
        <v>0</v>
      </c>
      <c r="J43" s="7">
        <f t="shared" si="2"/>
        <v>-1.2410000000000001</v>
      </c>
      <c r="M43" s="4">
        <v>0</v>
      </c>
    </row>
    <row r="44" spans="1:13" x14ac:dyDescent="0.3">
      <c r="A44" s="5" t="str">
        <f t="shared" si="1"/>
        <v>Red</v>
      </c>
      <c r="B44" s="5" t="s">
        <v>25</v>
      </c>
      <c r="C44" s="5">
        <v>43</v>
      </c>
      <c r="D44" s="5">
        <v>50</v>
      </c>
      <c r="E44" s="5">
        <v>0</v>
      </c>
      <c r="F44" s="5">
        <v>70</v>
      </c>
      <c r="G44" s="9" t="s">
        <v>32</v>
      </c>
      <c r="I44" s="7">
        <f t="shared" si="0"/>
        <v>0</v>
      </c>
      <c r="J44" s="7">
        <f t="shared" si="2"/>
        <v>-1.2410000000000001</v>
      </c>
      <c r="M44" s="4">
        <v>0</v>
      </c>
    </row>
    <row r="45" spans="1:13" x14ac:dyDescent="0.3">
      <c r="A45" s="5" t="str">
        <f t="shared" si="1"/>
        <v>Red</v>
      </c>
      <c r="B45" s="5" t="s">
        <v>25</v>
      </c>
      <c r="C45" s="6">
        <v>44</v>
      </c>
      <c r="D45" s="5">
        <v>50</v>
      </c>
      <c r="E45" s="5">
        <v>0</v>
      </c>
      <c r="F45" s="5">
        <v>70</v>
      </c>
      <c r="G45" s="5" t="s">
        <v>26</v>
      </c>
      <c r="I45" s="7">
        <f t="shared" si="0"/>
        <v>0</v>
      </c>
      <c r="J45" s="7">
        <f t="shared" si="2"/>
        <v>-1.2410000000000001</v>
      </c>
      <c r="M45" s="4">
        <v>0</v>
      </c>
    </row>
    <row r="46" spans="1:13" x14ac:dyDescent="0.3">
      <c r="A46" s="5" t="str">
        <f t="shared" si="1"/>
        <v>Red</v>
      </c>
      <c r="B46" s="5" t="s">
        <v>25</v>
      </c>
      <c r="C46" s="5">
        <v>45</v>
      </c>
      <c r="D46" s="5">
        <v>50</v>
      </c>
      <c r="E46" s="5">
        <v>0</v>
      </c>
      <c r="F46" s="5">
        <v>70</v>
      </c>
      <c r="G46" s="9" t="s">
        <v>33</v>
      </c>
      <c r="H46" s="5" t="s">
        <v>15</v>
      </c>
      <c r="I46" s="7">
        <f t="shared" si="0"/>
        <v>0</v>
      </c>
      <c r="J46" s="7">
        <f t="shared" si="2"/>
        <v>-1.2410000000000001</v>
      </c>
      <c r="M46" s="4">
        <v>0</v>
      </c>
    </row>
    <row r="47" spans="1:13" x14ac:dyDescent="0.3">
      <c r="A47" s="5" t="str">
        <f t="shared" si="1"/>
        <v>Red</v>
      </c>
      <c r="B47" s="5" t="s">
        <v>34</v>
      </c>
      <c r="C47" s="5">
        <v>46</v>
      </c>
      <c r="D47" s="5">
        <v>75</v>
      </c>
      <c r="E47" s="5">
        <v>0</v>
      </c>
      <c r="F47" s="5">
        <v>70</v>
      </c>
      <c r="G47" s="5" t="s">
        <v>26</v>
      </c>
      <c r="I47" s="7">
        <f t="shared" si="0"/>
        <v>0</v>
      </c>
      <c r="J47" s="7">
        <f t="shared" si="2"/>
        <v>-1.2410000000000001</v>
      </c>
      <c r="M47" s="4">
        <v>0</v>
      </c>
    </row>
    <row r="48" spans="1:13" x14ac:dyDescent="0.3">
      <c r="A48" s="5" t="str">
        <f t="shared" si="1"/>
        <v>Red</v>
      </c>
      <c r="B48" s="5" t="s">
        <v>34</v>
      </c>
      <c r="C48" s="6">
        <v>47</v>
      </c>
      <c r="D48" s="5">
        <v>75</v>
      </c>
      <c r="E48" s="5">
        <v>0</v>
      </c>
      <c r="F48" s="5">
        <v>70</v>
      </c>
      <c r="G48" s="9" t="s">
        <v>18</v>
      </c>
      <c r="I48" s="7">
        <f t="shared" si="0"/>
        <v>0</v>
      </c>
      <c r="J48" s="7">
        <f t="shared" si="2"/>
        <v>-1.2410000000000001</v>
      </c>
      <c r="M48" s="4">
        <v>0</v>
      </c>
    </row>
    <row r="49" spans="1:13" x14ac:dyDescent="0.3">
      <c r="A49" s="5" t="str">
        <f t="shared" si="1"/>
        <v>Red</v>
      </c>
      <c r="B49" s="5" t="s">
        <v>34</v>
      </c>
      <c r="C49" s="5">
        <v>48</v>
      </c>
      <c r="D49" s="5">
        <v>75</v>
      </c>
      <c r="E49" s="5">
        <v>0</v>
      </c>
      <c r="F49" s="5">
        <v>70</v>
      </c>
      <c r="G49" s="9" t="s">
        <v>35</v>
      </c>
      <c r="H49" s="5" t="s">
        <v>15</v>
      </c>
      <c r="I49" s="7">
        <f t="shared" si="0"/>
        <v>0</v>
      </c>
      <c r="J49" s="7">
        <f t="shared" si="2"/>
        <v>-1.2410000000000001</v>
      </c>
      <c r="M49" s="4">
        <v>0</v>
      </c>
    </row>
    <row r="50" spans="1:13" x14ac:dyDescent="0.3">
      <c r="A50" s="5" t="str">
        <f t="shared" si="1"/>
        <v>Red</v>
      </c>
      <c r="B50" s="5" t="s">
        <v>36</v>
      </c>
      <c r="C50" s="5">
        <v>49</v>
      </c>
      <c r="D50" s="5">
        <v>50</v>
      </c>
      <c r="E50" s="5">
        <v>0</v>
      </c>
      <c r="F50" s="5">
        <v>60</v>
      </c>
      <c r="I50" s="7">
        <f t="shared" si="0"/>
        <v>0</v>
      </c>
      <c r="J50" s="7">
        <f t="shared" si="2"/>
        <v>-1.2410000000000001</v>
      </c>
      <c r="M50" s="4">
        <v>0</v>
      </c>
    </row>
    <row r="51" spans="1:13" x14ac:dyDescent="0.3">
      <c r="A51" s="5" t="str">
        <f t="shared" si="1"/>
        <v>Red</v>
      </c>
      <c r="B51" s="5" t="s">
        <v>36</v>
      </c>
      <c r="C51" s="6">
        <v>50</v>
      </c>
      <c r="D51" s="5">
        <v>50</v>
      </c>
      <c r="E51" s="5">
        <v>0</v>
      </c>
      <c r="F51" s="5">
        <v>60</v>
      </c>
      <c r="I51" s="7">
        <f t="shared" si="0"/>
        <v>0</v>
      </c>
      <c r="J51" s="7">
        <f t="shared" si="2"/>
        <v>-1.2410000000000001</v>
      </c>
      <c r="M51" s="4">
        <v>0</v>
      </c>
    </row>
    <row r="52" spans="1:13" x14ac:dyDescent="0.3">
      <c r="A52" s="5" t="str">
        <f t="shared" si="1"/>
        <v>Red</v>
      </c>
      <c r="B52" s="5" t="s">
        <v>36</v>
      </c>
      <c r="C52" s="5">
        <v>51</v>
      </c>
      <c r="D52" s="5">
        <v>50</v>
      </c>
      <c r="E52" s="5">
        <v>0</v>
      </c>
      <c r="F52" s="5">
        <v>55</v>
      </c>
      <c r="I52" s="7">
        <f t="shared" si="0"/>
        <v>0</v>
      </c>
      <c r="J52" s="7">
        <f t="shared" si="2"/>
        <v>-1.2410000000000001</v>
      </c>
      <c r="M52" s="4">
        <v>0</v>
      </c>
    </row>
    <row r="53" spans="1:13" x14ac:dyDescent="0.3">
      <c r="A53" s="5" t="str">
        <f t="shared" si="1"/>
        <v>Red</v>
      </c>
      <c r="B53" s="5" t="s">
        <v>36</v>
      </c>
      <c r="C53" s="5">
        <v>52</v>
      </c>
      <c r="D53" s="5">
        <v>43.2</v>
      </c>
      <c r="E53" s="5">
        <v>0</v>
      </c>
      <c r="F53" s="5">
        <v>55</v>
      </c>
      <c r="G53" s="5" t="s">
        <v>37</v>
      </c>
      <c r="I53" s="7">
        <f t="shared" si="0"/>
        <v>0</v>
      </c>
      <c r="J53" s="7">
        <f t="shared" si="2"/>
        <v>-1.2410000000000001</v>
      </c>
      <c r="M53" s="4">
        <v>0</v>
      </c>
    </row>
    <row r="54" spans="1:13" x14ac:dyDescent="0.3">
      <c r="A54" s="5" t="str">
        <f t="shared" si="1"/>
        <v>Red</v>
      </c>
      <c r="B54" s="5" t="s">
        <v>36</v>
      </c>
      <c r="C54" s="6">
        <v>53</v>
      </c>
      <c r="D54" s="5">
        <v>50</v>
      </c>
      <c r="E54" s="5">
        <v>0</v>
      </c>
      <c r="F54" s="5">
        <v>55</v>
      </c>
      <c r="I54" s="7">
        <f t="shared" si="0"/>
        <v>0</v>
      </c>
      <c r="J54" s="7">
        <f t="shared" si="2"/>
        <v>-1.2410000000000001</v>
      </c>
      <c r="M54" s="4">
        <v>0</v>
      </c>
    </row>
    <row r="55" spans="1:13" x14ac:dyDescent="0.3">
      <c r="A55" s="5" t="str">
        <f t="shared" si="1"/>
        <v>Red</v>
      </c>
      <c r="B55" s="5" t="s">
        <v>36</v>
      </c>
      <c r="C55" s="5">
        <v>54</v>
      </c>
      <c r="D55" s="5">
        <v>50</v>
      </c>
      <c r="E55" s="5">
        <v>0</v>
      </c>
      <c r="F55" s="5">
        <v>55</v>
      </c>
      <c r="I55" s="7">
        <f t="shared" si="0"/>
        <v>0</v>
      </c>
      <c r="J55" s="7">
        <f t="shared" si="2"/>
        <v>-1.2410000000000001</v>
      </c>
      <c r="M55" s="4">
        <v>0</v>
      </c>
    </row>
    <row r="56" spans="1:13" x14ac:dyDescent="0.3">
      <c r="A56" s="5" t="str">
        <f t="shared" si="1"/>
        <v>Red</v>
      </c>
      <c r="B56" s="5" t="s">
        <v>38</v>
      </c>
      <c r="C56" s="5">
        <v>55</v>
      </c>
      <c r="D56" s="5">
        <v>75</v>
      </c>
      <c r="E56" s="5">
        <v>0.5</v>
      </c>
      <c r="F56" s="5">
        <v>55</v>
      </c>
      <c r="I56" s="7">
        <f t="shared" si="0"/>
        <v>0.375</v>
      </c>
      <c r="J56" s="7">
        <f t="shared" si="2"/>
        <v>-0.8660000000000001</v>
      </c>
      <c r="M56" s="4">
        <v>0</v>
      </c>
    </row>
    <row r="57" spans="1:13" x14ac:dyDescent="0.3">
      <c r="A57" s="5" t="str">
        <f t="shared" si="1"/>
        <v>Red</v>
      </c>
      <c r="B57" s="5" t="s">
        <v>38</v>
      </c>
      <c r="C57" s="6">
        <v>56</v>
      </c>
      <c r="D57" s="5">
        <v>75</v>
      </c>
      <c r="E57" s="5">
        <v>0.5</v>
      </c>
      <c r="F57" s="5">
        <v>55</v>
      </c>
      <c r="I57" s="7">
        <f t="shared" si="0"/>
        <v>0.375</v>
      </c>
      <c r="J57" s="7">
        <f t="shared" si="2"/>
        <v>-0.4910000000000001</v>
      </c>
      <c r="M57" s="4">
        <v>0</v>
      </c>
    </row>
    <row r="58" spans="1:13" x14ac:dyDescent="0.3">
      <c r="A58" s="5" t="str">
        <f t="shared" si="1"/>
        <v>Red</v>
      </c>
      <c r="B58" s="5" t="s">
        <v>38</v>
      </c>
      <c r="C58" s="5">
        <v>57</v>
      </c>
      <c r="D58" s="5">
        <v>75</v>
      </c>
      <c r="E58" s="5">
        <v>0.5</v>
      </c>
      <c r="F58" s="5">
        <v>55</v>
      </c>
      <c r="I58" s="7">
        <f t="shared" si="0"/>
        <v>0.375</v>
      </c>
      <c r="J58" s="7">
        <f t="shared" si="2"/>
        <v>-0.1160000000000001</v>
      </c>
      <c r="M58" s="4">
        <v>0</v>
      </c>
    </row>
    <row r="59" spans="1:13" x14ac:dyDescent="0.3">
      <c r="A59" s="5" t="str">
        <f t="shared" si="1"/>
        <v>Red</v>
      </c>
      <c r="B59" s="5" t="s">
        <v>39</v>
      </c>
      <c r="C59" s="5">
        <v>58</v>
      </c>
      <c r="D59" s="5">
        <v>75</v>
      </c>
      <c r="E59" s="5">
        <v>1</v>
      </c>
      <c r="F59" s="5">
        <v>55</v>
      </c>
      <c r="I59" s="7">
        <f t="shared" si="0"/>
        <v>0.75</v>
      </c>
      <c r="J59" s="7">
        <f t="shared" si="2"/>
        <v>0.6339999999999999</v>
      </c>
      <c r="M59" s="4">
        <v>0</v>
      </c>
    </row>
    <row r="60" spans="1:13" x14ac:dyDescent="0.3">
      <c r="A60" s="5" t="str">
        <f t="shared" si="1"/>
        <v>Red</v>
      </c>
      <c r="B60" s="5" t="s">
        <v>39</v>
      </c>
      <c r="C60" s="6">
        <v>59</v>
      </c>
      <c r="D60" s="5">
        <v>75</v>
      </c>
      <c r="E60" s="5">
        <v>0.5</v>
      </c>
      <c r="F60" s="5">
        <v>55</v>
      </c>
      <c r="I60" s="7">
        <f t="shared" si="0"/>
        <v>0.375</v>
      </c>
      <c r="J60" s="7">
        <f t="shared" si="2"/>
        <v>1.0089999999999999</v>
      </c>
      <c r="M60" s="4">
        <v>0</v>
      </c>
    </row>
    <row r="61" spans="1:13" x14ac:dyDescent="0.3">
      <c r="A61" s="5" t="str">
        <f t="shared" si="1"/>
        <v>Red</v>
      </c>
      <c r="B61" s="5" t="s">
        <v>39</v>
      </c>
      <c r="C61" s="5">
        <v>60</v>
      </c>
      <c r="D61" s="5">
        <v>75</v>
      </c>
      <c r="E61" s="5">
        <v>0</v>
      </c>
      <c r="F61" s="5">
        <v>55</v>
      </c>
      <c r="G61" s="9" t="s">
        <v>40</v>
      </c>
      <c r="H61" s="5" t="s">
        <v>15</v>
      </c>
      <c r="I61" s="7">
        <f t="shared" si="0"/>
        <v>0</v>
      </c>
      <c r="J61" s="7">
        <f t="shared" si="2"/>
        <v>1.0089999999999999</v>
      </c>
      <c r="M61" s="4">
        <v>0</v>
      </c>
    </row>
    <row r="62" spans="1:13" x14ac:dyDescent="0.3">
      <c r="A62" s="5" t="str">
        <f t="shared" si="1"/>
        <v>Red</v>
      </c>
      <c r="B62" s="5" t="s">
        <v>41</v>
      </c>
      <c r="C62" s="5">
        <v>61</v>
      </c>
      <c r="D62" s="5">
        <v>75</v>
      </c>
      <c r="E62" s="5">
        <v>-0.5</v>
      </c>
      <c r="F62" s="5">
        <v>55</v>
      </c>
      <c r="I62" s="7">
        <f t="shared" si="0"/>
        <v>-0.375</v>
      </c>
      <c r="J62" s="7">
        <f t="shared" si="2"/>
        <v>0.6339999999999999</v>
      </c>
      <c r="M62" s="4">
        <v>0</v>
      </c>
    </row>
    <row r="63" spans="1:13" x14ac:dyDescent="0.3">
      <c r="A63" s="5" t="str">
        <f t="shared" si="1"/>
        <v>Red</v>
      </c>
      <c r="B63" s="5" t="s">
        <v>41</v>
      </c>
      <c r="C63" s="6">
        <v>62</v>
      </c>
      <c r="D63" s="5">
        <v>75</v>
      </c>
      <c r="E63" s="5">
        <v>-1</v>
      </c>
      <c r="F63" s="5">
        <v>55</v>
      </c>
      <c r="I63" s="7">
        <f t="shared" si="0"/>
        <v>-0.75</v>
      </c>
      <c r="J63" s="7">
        <f t="shared" si="2"/>
        <v>-0.1160000000000001</v>
      </c>
      <c r="M63" s="4">
        <v>0</v>
      </c>
    </row>
    <row r="64" spans="1:13" x14ac:dyDescent="0.3">
      <c r="A64" s="5" t="str">
        <f t="shared" si="1"/>
        <v>Red</v>
      </c>
      <c r="B64" s="5" t="s">
        <v>41</v>
      </c>
      <c r="C64" s="5">
        <v>63</v>
      </c>
      <c r="D64" s="5">
        <v>75</v>
      </c>
      <c r="E64" s="5">
        <v>-1</v>
      </c>
      <c r="F64" s="5">
        <v>55</v>
      </c>
      <c r="I64" s="7">
        <f t="shared" si="0"/>
        <v>-0.75</v>
      </c>
      <c r="J64" s="7">
        <f t="shared" si="2"/>
        <v>-0.8660000000000001</v>
      </c>
      <c r="M64" s="4">
        <v>0</v>
      </c>
    </row>
    <row r="65" spans="1:13" x14ac:dyDescent="0.3">
      <c r="A65" s="5" t="str">
        <f t="shared" si="1"/>
        <v>Red</v>
      </c>
      <c r="B65" s="5" t="s">
        <v>42</v>
      </c>
      <c r="C65" s="5">
        <v>64</v>
      </c>
      <c r="D65" s="5">
        <v>75</v>
      </c>
      <c r="E65" s="5">
        <v>-0.5</v>
      </c>
      <c r="F65" s="5">
        <v>55</v>
      </c>
      <c r="I65" s="7">
        <f t="shared" si="0"/>
        <v>-0.375</v>
      </c>
      <c r="J65" s="7">
        <f t="shared" si="2"/>
        <v>-1.2410000000000001</v>
      </c>
      <c r="M65" s="4">
        <v>0</v>
      </c>
    </row>
    <row r="66" spans="1:13" x14ac:dyDescent="0.3">
      <c r="A66" s="5" t="str">
        <f t="shared" si="1"/>
        <v>Red</v>
      </c>
      <c r="B66" s="5" t="s">
        <v>42</v>
      </c>
      <c r="C66" s="6">
        <v>65</v>
      </c>
      <c r="D66" s="5">
        <v>75</v>
      </c>
      <c r="E66" s="5">
        <v>0</v>
      </c>
      <c r="F66" s="5">
        <v>55</v>
      </c>
      <c r="I66" s="7">
        <f t="shared" si="0"/>
        <v>0</v>
      </c>
      <c r="J66" s="7">
        <f t="shared" si="2"/>
        <v>-1.2410000000000001</v>
      </c>
      <c r="M66" s="4">
        <v>0</v>
      </c>
    </row>
    <row r="67" spans="1:13" x14ac:dyDescent="0.3">
      <c r="A67" s="5" t="str">
        <f t="shared" si="1"/>
        <v>Red</v>
      </c>
      <c r="B67" s="5" t="s">
        <v>42</v>
      </c>
      <c r="C67" s="5">
        <v>66</v>
      </c>
      <c r="D67" s="5">
        <v>75</v>
      </c>
      <c r="E67" s="5">
        <v>0</v>
      </c>
      <c r="F67" s="5">
        <v>55</v>
      </c>
      <c r="I67" s="7">
        <f t="shared" ref="I67:I77" si="3">E67*D67/100</f>
        <v>0</v>
      </c>
      <c r="J67" s="7">
        <f t="shared" si="2"/>
        <v>-1.2410000000000001</v>
      </c>
      <c r="M67" s="4">
        <v>0</v>
      </c>
    </row>
    <row r="68" spans="1:13" x14ac:dyDescent="0.3">
      <c r="A68" s="5" t="str">
        <f t="shared" ref="A68:A131" si="4">A67</f>
        <v>Red</v>
      </c>
      <c r="B68" s="5" t="s">
        <v>43</v>
      </c>
      <c r="C68" s="5">
        <v>67</v>
      </c>
      <c r="D68" s="5">
        <v>50</v>
      </c>
      <c r="E68" s="5">
        <v>0</v>
      </c>
      <c r="F68" s="5">
        <v>55</v>
      </c>
      <c r="G68" s="5" t="s">
        <v>26</v>
      </c>
      <c r="I68" s="7">
        <f t="shared" si="3"/>
        <v>0</v>
      </c>
      <c r="J68" s="7">
        <f t="shared" ref="J68:J77" si="5">I68+J67</f>
        <v>-1.2410000000000001</v>
      </c>
      <c r="M68" s="4">
        <v>0</v>
      </c>
    </row>
    <row r="69" spans="1:13" x14ac:dyDescent="0.3">
      <c r="A69" s="5" t="str">
        <f t="shared" si="4"/>
        <v>Red</v>
      </c>
      <c r="B69" s="5" t="s">
        <v>44</v>
      </c>
      <c r="C69" s="6">
        <v>68</v>
      </c>
      <c r="D69" s="5">
        <v>50</v>
      </c>
      <c r="E69" s="5">
        <v>0</v>
      </c>
      <c r="F69" s="5">
        <v>55</v>
      </c>
      <c r="G69" s="5" t="s">
        <v>26</v>
      </c>
      <c r="I69" s="7">
        <f t="shared" si="3"/>
        <v>0</v>
      </c>
      <c r="J69" s="7">
        <f t="shared" si="5"/>
        <v>-1.2410000000000001</v>
      </c>
      <c r="M69" s="4">
        <v>0</v>
      </c>
    </row>
    <row r="70" spans="1:13" x14ac:dyDescent="0.3">
      <c r="A70" s="5" t="str">
        <f t="shared" si="4"/>
        <v>Red</v>
      </c>
      <c r="B70" s="5" t="s">
        <v>44</v>
      </c>
      <c r="C70" s="5">
        <v>69</v>
      </c>
      <c r="D70" s="5">
        <v>50</v>
      </c>
      <c r="E70" s="5">
        <v>0</v>
      </c>
      <c r="F70" s="5">
        <v>55</v>
      </c>
      <c r="G70" s="5" t="s">
        <v>26</v>
      </c>
      <c r="I70" s="7">
        <f t="shared" si="3"/>
        <v>0</v>
      </c>
      <c r="J70" s="7">
        <f t="shared" si="5"/>
        <v>-1.2410000000000001</v>
      </c>
      <c r="M70" s="4">
        <v>0</v>
      </c>
    </row>
    <row r="71" spans="1:13" x14ac:dyDescent="0.3">
      <c r="A71" s="5" t="str">
        <f t="shared" si="4"/>
        <v>Red</v>
      </c>
      <c r="B71" s="5" t="s">
        <v>44</v>
      </c>
      <c r="C71" s="5">
        <v>70</v>
      </c>
      <c r="D71" s="5">
        <v>50</v>
      </c>
      <c r="E71" s="5">
        <v>0</v>
      </c>
      <c r="F71" s="5">
        <v>55</v>
      </c>
      <c r="G71" s="5" t="s">
        <v>26</v>
      </c>
      <c r="I71" s="7">
        <f t="shared" si="3"/>
        <v>0</v>
      </c>
      <c r="J71" s="7">
        <f t="shared" si="5"/>
        <v>-1.2410000000000001</v>
      </c>
      <c r="M71" s="4">
        <v>0</v>
      </c>
    </row>
    <row r="72" spans="1:13" x14ac:dyDescent="0.3">
      <c r="A72" s="5" t="str">
        <f t="shared" si="4"/>
        <v>Red</v>
      </c>
      <c r="B72" s="5" t="s">
        <v>45</v>
      </c>
      <c r="C72" s="6">
        <v>71</v>
      </c>
      <c r="D72" s="5">
        <v>50</v>
      </c>
      <c r="E72" s="5">
        <v>0</v>
      </c>
      <c r="F72" s="5">
        <v>55</v>
      </c>
      <c r="G72" s="5" t="s">
        <v>26</v>
      </c>
      <c r="I72" s="7">
        <f t="shared" si="3"/>
        <v>0</v>
      </c>
      <c r="J72" s="7">
        <f t="shared" si="5"/>
        <v>-1.2410000000000001</v>
      </c>
      <c r="M72" s="4">
        <v>0</v>
      </c>
    </row>
    <row r="73" spans="1:13" x14ac:dyDescent="0.3">
      <c r="A73" s="5" t="str">
        <f t="shared" si="4"/>
        <v>Red</v>
      </c>
      <c r="B73" s="5" t="s">
        <v>46</v>
      </c>
      <c r="C73" s="5">
        <v>72</v>
      </c>
      <c r="D73" s="5">
        <v>50</v>
      </c>
      <c r="E73" s="5">
        <v>0</v>
      </c>
      <c r="F73" s="5">
        <v>55</v>
      </c>
      <c r="G73" s="5" t="s">
        <v>26</v>
      </c>
      <c r="I73" s="7">
        <f t="shared" si="3"/>
        <v>0</v>
      </c>
      <c r="J73" s="7">
        <f t="shared" si="5"/>
        <v>-1.2410000000000001</v>
      </c>
      <c r="M73" s="4">
        <v>0</v>
      </c>
    </row>
    <row r="74" spans="1:13" x14ac:dyDescent="0.3">
      <c r="A74" s="5" t="str">
        <f t="shared" si="4"/>
        <v>Red</v>
      </c>
      <c r="B74" s="5" t="s">
        <v>47</v>
      </c>
      <c r="C74" s="5">
        <v>73</v>
      </c>
      <c r="D74" s="5">
        <v>50</v>
      </c>
      <c r="E74" s="5">
        <v>0</v>
      </c>
      <c r="F74" s="5">
        <v>55</v>
      </c>
      <c r="G74" s="5" t="s">
        <v>26</v>
      </c>
      <c r="I74" s="7">
        <f t="shared" si="3"/>
        <v>0</v>
      </c>
      <c r="J74" s="7">
        <f t="shared" si="5"/>
        <v>-1.2410000000000001</v>
      </c>
      <c r="M74" s="4">
        <v>0</v>
      </c>
    </row>
    <row r="75" spans="1:13" x14ac:dyDescent="0.3">
      <c r="A75" s="5" t="str">
        <f t="shared" si="4"/>
        <v>Red</v>
      </c>
      <c r="B75" s="5" t="s">
        <v>47</v>
      </c>
      <c r="C75" s="6">
        <v>74</v>
      </c>
      <c r="D75" s="5">
        <v>50</v>
      </c>
      <c r="E75" s="5">
        <v>0</v>
      </c>
      <c r="F75" s="5">
        <v>55</v>
      </c>
      <c r="G75" s="5" t="s">
        <v>26</v>
      </c>
      <c r="I75" s="7">
        <f t="shared" si="3"/>
        <v>0</v>
      </c>
      <c r="J75" s="7">
        <f t="shared" si="5"/>
        <v>-1.2410000000000001</v>
      </c>
      <c r="M75" s="4">
        <v>0</v>
      </c>
    </row>
    <row r="76" spans="1:13" x14ac:dyDescent="0.3">
      <c r="A76" s="5" t="str">
        <f t="shared" si="4"/>
        <v>Red</v>
      </c>
      <c r="B76" s="5" t="s">
        <v>47</v>
      </c>
      <c r="C76" s="5">
        <v>75</v>
      </c>
      <c r="D76" s="5">
        <v>50</v>
      </c>
      <c r="E76" s="5">
        <v>0</v>
      </c>
      <c r="F76" s="5">
        <v>55</v>
      </c>
      <c r="G76" s="5" t="s">
        <v>26</v>
      </c>
      <c r="I76" s="7">
        <f t="shared" si="3"/>
        <v>0</v>
      </c>
      <c r="J76" s="7">
        <f t="shared" si="5"/>
        <v>-1.2410000000000001</v>
      </c>
      <c r="M76" s="4">
        <v>0</v>
      </c>
    </row>
    <row r="77" spans="1:13" x14ac:dyDescent="0.3">
      <c r="A77" s="5" t="str">
        <f t="shared" si="4"/>
        <v>Red</v>
      </c>
      <c r="B77" s="5" t="s">
        <v>48</v>
      </c>
      <c r="C77" s="5">
        <v>76</v>
      </c>
      <c r="D77" s="5">
        <v>50</v>
      </c>
      <c r="E77" s="5">
        <v>0</v>
      </c>
      <c r="F77" s="5">
        <v>55</v>
      </c>
      <c r="G77" s="5" t="s">
        <v>26</v>
      </c>
      <c r="I77" s="7">
        <f t="shared" si="3"/>
        <v>0</v>
      </c>
      <c r="J77" s="7">
        <f t="shared" si="5"/>
        <v>-1.2410000000000001</v>
      </c>
      <c r="M77" s="4">
        <v>0</v>
      </c>
    </row>
    <row r="78" spans="1:13" x14ac:dyDescent="0.3">
      <c r="A78" s="5" t="s">
        <v>49</v>
      </c>
      <c r="C78" s="6"/>
    </row>
    <row r="79" spans="1:13" x14ac:dyDescent="0.3">
      <c r="A79" s="5" t="str">
        <f t="shared" si="4"/>
        <v xml:space="preserve"> </v>
      </c>
      <c r="C79" s="6"/>
    </row>
    <row r="80" spans="1:13" x14ac:dyDescent="0.3">
      <c r="A80" s="5" t="str">
        <f t="shared" si="4"/>
        <v xml:space="preserve"> </v>
      </c>
      <c r="C80" s="6"/>
    </row>
    <row r="81" spans="1:3" x14ac:dyDescent="0.3">
      <c r="A81" s="5" t="str">
        <f t="shared" si="4"/>
        <v xml:space="preserve"> </v>
      </c>
      <c r="C81" s="6"/>
    </row>
    <row r="82" spans="1:3" x14ac:dyDescent="0.3">
      <c r="A82" s="5" t="str">
        <f t="shared" si="4"/>
        <v xml:space="preserve"> </v>
      </c>
      <c r="C82" s="6"/>
    </row>
    <row r="83" spans="1:3" x14ac:dyDescent="0.3">
      <c r="A83" s="5" t="str">
        <f t="shared" si="4"/>
        <v xml:space="preserve"> </v>
      </c>
      <c r="C83" s="6"/>
    </row>
    <row r="84" spans="1:3" x14ac:dyDescent="0.3">
      <c r="A84" s="5" t="str">
        <f t="shared" si="4"/>
        <v xml:space="preserve"> </v>
      </c>
      <c r="C84" s="6"/>
    </row>
    <row r="85" spans="1:3" x14ac:dyDescent="0.3">
      <c r="A85" s="5" t="str">
        <f t="shared" si="4"/>
        <v xml:space="preserve"> </v>
      </c>
      <c r="C85" s="6"/>
    </row>
    <row r="86" spans="1:3" x14ac:dyDescent="0.3">
      <c r="A86" s="5" t="str">
        <f t="shared" si="4"/>
        <v xml:space="preserve"> </v>
      </c>
      <c r="C86" s="6"/>
    </row>
    <row r="87" spans="1:3" x14ac:dyDescent="0.3">
      <c r="A87" s="5" t="str">
        <f t="shared" si="4"/>
        <v xml:space="preserve"> </v>
      </c>
      <c r="C87" s="6"/>
    </row>
    <row r="88" spans="1:3" x14ac:dyDescent="0.3">
      <c r="A88" s="5" t="str">
        <f t="shared" si="4"/>
        <v xml:space="preserve"> </v>
      </c>
      <c r="C88" s="6"/>
    </row>
    <row r="89" spans="1:3" x14ac:dyDescent="0.3">
      <c r="A89" s="5" t="str">
        <f t="shared" si="4"/>
        <v xml:space="preserve"> </v>
      </c>
      <c r="C89" s="6"/>
    </row>
    <row r="90" spans="1:3" x14ac:dyDescent="0.3">
      <c r="A90" s="5" t="str">
        <f t="shared" si="4"/>
        <v xml:space="preserve"> </v>
      </c>
      <c r="C90" s="6"/>
    </row>
    <row r="91" spans="1:3" x14ac:dyDescent="0.3">
      <c r="A91" s="5" t="str">
        <f t="shared" si="4"/>
        <v xml:space="preserve"> </v>
      </c>
      <c r="C91" s="6"/>
    </row>
    <row r="92" spans="1:3" x14ac:dyDescent="0.3">
      <c r="A92" s="5" t="str">
        <f t="shared" si="4"/>
        <v xml:space="preserve"> </v>
      </c>
      <c r="C92" s="6"/>
    </row>
    <row r="93" spans="1:3" x14ac:dyDescent="0.3">
      <c r="A93" s="5" t="str">
        <f t="shared" si="4"/>
        <v xml:space="preserve"> </v>
      </c>
      <c r="C93" s="6"/>
    </row>
    <row r="94" spans="1:3" x14ac:dyDescent="0.3">
      <c r="A94" s="5" t="str">
        <f t="shared" si="4"/>
        <v xml:space="preserve"> </v>
      </c>
      <c r="C94" s="6"/>
    </row>
    <row r="95" spans="1:3" x14ac:dyDescent="0.3">
      <c r="A95" s="5" t="str">
        <f t="shared" si="4"/>
        <v xml:space="preserve"> </v>
      </c>
      <c r="C95" s="6"/>
    </row>
    <row r="96" spans="1:3" x14ac:dyDescent="0.3">
      <c r="A96" s="5" t="str">
        <f t="shared" si="4"/>
        <v xml:space="preserve"> </v>
      </c>
      <c r="C96" s="6"/>
    </row>
    <row r="97" spans="1:3" x14ac:dyDescent="0.3">
      <c r="A97" s="5" t="str">
        <f t="shared" si="4"/>
        <v xml:space="preserve"> </v>
      </c>
      <c r="C97" s="6"/>
    </row>
    <row r="98" spans="1:3" x14ac:dyDescent="0.3">
      <c r="A98" s="5" t="str">
        <f t="shared" si="4"/>
        <v xml:space="preserve"> </v>
      </c>
      <c r="C98" s="6"/>
    </row>
    <row r="99" spans="1:3" x14ac:dyDescent="0.3">
      <c r="A99" s="5" t="str">
        <f t="shared" si="4"/>
        <v xml:space="preserve"> </v>
      </c>
      <c r="C99" s="6"/>
    </row>
    <row r="100" spans="1:3" x14ac:dyDescent="0.3">
      <c r="A100" s="5" t="str">
        <f t="shared" si="4"/>
        <v xml:space="preserve"> </v>
      </c>
      <c r="C100" s="6"/>
    </row>
    <row r="101" spans="1:3" x14ac:dyDescent="0.3">
      <c r="A101" s="5" t="str">
        <f t="shared" si="4"/>
        <v xml:space="preserve"> </v>
      </c>
      <c r="C101" s="6"/>
    </row>
    <row r="102" spans="1:3" x14ac:dyDescent="0.3">
      <c r="A102" s="5" t="str">
        <f t="shared" si="4"/>
        <v xml:space="preserve"> </v>
      </c>
      <c r="C102" s="6"/>
    </row>
    <row r="103" spans="1:3" x14ac:dyDescent="0.3">
      <c r="A103" s="5" t="str">
        <f t="shared" si="4"/>
        <v xml:space="preserve"> </v>
      </c>
      <c r="C103" s="6"/>
    </row>
    <row r="104" spans="1:3" x14ac:dyDescent="0.3">
      <c r="A104" s="5" t="str">
        <f t="shared" si="4"/>
        <v xml:space="preserve"> </v>
      </c>
      <c r="C104" s="6"/>
    </row>
    <row r="105" spans="1:3" x14ac:dyDescent="0.3">
      <c r="A105" s="5" t="str">
        <f t="shared" si="4"/>
        <v xml:space="preserve"> </v>
      </c>
      <c r="C105" s="6"/>
    </row>
    <row r="106" spans="1:3" x14ac:dyDescent="0.3">
      <c r="A106" s="5" t="str">
        <f t="shared" si="4"/>
        <v xml:space="preserve"> </v>
      </c>
      <c r="C106" s="6"/>
    </row>
    <row r="107" spans="1:3" x14ac:dyDescent="0.3">
      <c r="A107" s="5" t="str">
        <f t="shared" si="4"/>
        <v xml:space="preserve"> </v>
      </c>
      <c r="C107" s="6"/>
    </row>
    <row r="108" spans="1:3" x14ac:dyDescent="0.3">
      <c r="A108" s="5" t="str">
        <f t="shared" si="4"/>
        <v xml:space="preserve"> </v>
      </c>
      <c r="C108" s="6"/>
    </row>
    <row r="109" spans="1:3" x14ac:dyDescent="0.3">
      <c r="A109" s="5" t="str">
        <f t="shared" si="4"/>
        <v xml:space="preserve"> </v>
      </c>
      <c r="C109" s="6"/>
    </row>
    <row r="110" spans="1:3" x14ac:dyDescent="0.3">
      <c r="A110" s="5" t="str">
        <f t="shared" si="4"/>
        <v xml:space="preserve"> </v>
      </c>
      <c r="C110" s="6"/>
    </row>
    <row r="111" spans="1:3" x14ac:dyDescent="0.3">
      <c r="A111" s="5" t="str">
        <f t="shared" si="4"/>
        <v xml:space="preserve"> </v>
      </c>
      <c r="C111" s="6"/>
    </row>
    <row r="112" spans="1:3" x14ac:dyDescent="0.3">
      <c r="A112" s="5" t="str">
        <f t="shared" si="4"/>
        <v xml:space="preserve"> </v>
      </c>
      <c r="C112" s="6"/>
    </row>
    <row r="113" spans="1:3" x14ac:dyDescent="0.3">
      <c r="A113" s="5" t="str">
        <f t="shared" si="4"/>
        <v xml:space="preserve"> </v>
      </c>
      <c r="C113" s="6"/>
    </row>
    <row r="114" spans="1:3" x14ac:dyDescent="0.3">
      <c r="A114" s="5" t="str">
        <f t="shared" si="4"/>
        <v xml:space="preserve"> </v>
      </c>
      <c r="C114" s="6"/>
    </row>
    <row r="115" spans="1:3" x14ac:dyDescent="0.3">
      <c r="A115" s="5" t="str">
        <f t="shared" si="4"/>
        <v xml:space="preserve"> </v>
      </c>
      <c r="C115" s="6"/>
    </row>
    <row r="116" spans="1:3" x14ac:dyDescent="0.3">
      <c r="A116" s="5" t="str">
        <f t="shared" si="4"/>
        <v xml:space="preserve"> </v>
      </c>
      <c r="C116" s="6"/>
    </row>
    <row r="117" spans="1:3" x14ac:dyDescent="0.3">
      <c r="A117" s="5" t="str">
        <f t="shared" si="4"/>
        <v xml:space="preserve"> </v>
      </c>
      <c r="C117" s="6"/>
    </row>
    <row r="118" spans="1:3" x14ac:dyDescent="0.3">
      <c r="A118" s="5" t="str">
        <f t="shared" si="4"/>
        <v xml:space="preserve"> </v>
      </c>
      <c r="C118" s="6"/>
    </row>
    <row r="119" spans="1:3" x14ac:dyDescent="0.3">
      <c r="A119" s="5" t="str">
        <f t="shared" si="4"/>
        <v xml:space="preserve"> </v>
      </c>
      <c r="C119" s="6"/>
    </row>
    <row r="120" spans="1:3" x14ac:dyDescent="0.3">
      <c r="A120" s="5" t="str">
        <f t="shared" si="4"/>
        <v xml:space="preserve"> </v>
      </c>
      <c r="C120" s="6"/>
    </row>
    <row r="121" spans="1:3" x14ac:dyDescent="0.3">
      <c r="A121" s="5" t="str">
        <f t="shared" si="4"/>
        <v xml:space="preserve"> </v>
      </c>
      <c r="C121" s="6"/>
    </row>
    <row r="122" spans="1:3" x14ac:dyDescent="0.3">
      <c r="A122" s="5" t="str">
        <f t="shared" si="4"/>
        <v xml:space="preserve"> </v>
      </c>
      <c r="C122" s="6"/>
    </row>
    <row r="123" spans="1:3" x14ac:dyDescent="0.3">
      <c r="A123" s="5" t="str">
        <f t="shared" si="4"/>
        <v xml:space="preserve"> </v>
      </c>
      <c r="C123" s="6"/>
    </row>
    <row r="124" spans="1:3" x14ac:dyDescent="0.3">
      <c r="A124" s="5" t="str">
        <f t="shared" si="4"/>
        <v xml:space="preserve"> </v>
      </c>
      <c r="C124" s="6"/>
    </row>
    <row r="125" spans="1:3" x14ac:dyDescent="0.3">
      <c r="A125" s="5" t="str">
        <f t="shared" si="4"/>
        <v xml:space="preserve"> </v>
      </c>
      <c r="C125" s="6"/>
    </row>
    <row r="126" spans="1:3" x14ac:dyDescent="0.3">
      <c r="A126" s="5" t="str">
        <f t="shared" si="4"/>
        <v xml:space="preserve"> </v>
      </c>
      <c r="C126" s="6"/>
    </row>
    <row r="127" spans="1:3" x14ac:dyDescent="0.3">
      <c r="A127" s="5" t="str">
        <f t="shared" si="4"/>
        <v xml:space="preserve"> </v>
      </c>
      <c r="C127" s="6"/>
    </row>
    <row r="128" spans="1:3" x14ac:dyDescent="0.3">
      <c r="A128" s="5" t="str">
        <f t="shared" si="4"/>
        <v xml:space="preserve"> </v>
      </c>
      <c r="C128" s="6"/>
    </row>
    <row r="129" spans="1:3" x14ac:dyDescent="0.3">
      <c r="A129" s="5" t="str">
        <f t="shared" si="4"/>
        <v xml:space="preserve"> </v>
      </c>
      <c r="C129" s="6"/>
    </row>
    <row r="130" spans="1:3" x14ac:dyDescent="0.3">
      <c r="A130" s="5" t="str">
        <f t="shared" si="4"/>
        <v xml:space="preserve"> </v>
      </c>
      <c r="C130" s="6"/>
    </row>
    <row r="131" spans="1:3" x14ac:dyDescent="0.3">
      <c r="A131" s="5" t="str">
        <f t="shared" si="4"/>
        <v xml:space="preserve"> </v>
      </c>
      <c r="C131" s="6"/>
    </row>
    <row r="132" spans="1:3" x14ac:dyDescent="0.3">
      <c r="A132" s="5" t="str">
        <f t="shared" ref="A132:A154" si="6">A131</f>
        <v xml:space="preserve"> </v>
      </c>
      <c r="C132" s="6"/>
    </row>
    <row r="133" spans="1:3" x14ac:dyDescent="0.3">
      <c r="A133" s="5" t="str">
        <f t="shared" si="6"/>
        <v xml:space="preserve"> </v>
      </c>
      <c r="C133" s="6"/>
    </row>
    <row r="134" spans="1:3" x14ac:dyDescent="0.3">
      <c r="A134" s="5" t="str">
        <f t="shared" si="6"/>
        <v xml:space="preserve"> </v>
      </c>
      <c r="C134" s="6"/>
    </row>
    <row r="135" spans="1:3" x14ac:dyDescent="0.3">
      <c r="A135" s="5" t="str">
        <f t="shared" si="6"/>
        <v xml:space="preserve"> </v>
      </c>
      <c r="C135" s="6"/>
    </row>
    <row r="136" spans="1:3" x14ac:dyDescent="0.3">
      <c r="A136" s="5" t="str">
        <f t="shared" si="6"/>
        <v xml:space="preserve"> </v>
      </c>
      <c r="C136" s="6"/>
    </row>
    <row r="137" spans="1:3" x14ac:dyDescent="0.3">
      <c r="A137" s="5" t="str">
        <f t="shared" si="6"/>
        <v xml:space="preserve"> </v>
      </c>
      <c r="C137" s="6"/>
    </row>
    <row r="138" spans="1:3" x14ac:dyDescent="0.3">
      <c r="A138" s="5" t="str">
        <f t="shared" si="6"/>
        <v xml:space="preserve"> </v>
      </c>
      <c r="C138" s="6"/>
    </row>
    <row r="139" spans="1:3" x14ac:dyDescent="0.3">
      <c r="A139" s="5" t="str">
        <f t="shared" si="6"/>
        <v xml:space="preserve"> </v>
      </c>
      <c r="C139" s="6"/>
    </row>
    <row r="140" spans="1:3" x14ac:dyDescent="0.3">
      <c r="A140" s="5" t="str">
        <f t="shared" si="6"/>
        <v xml:space="preserve"> </v>
      </c>
      <c r="C140" s="6"/>
    </row>
    <row r="141" spans="1:3" x14ac:dyDescent="0.3">
      <c r="A141" s="5" t="str">
        <f t="shared" si="6"/>
        <v xml:space="preserve"> </v>
      </c>
      <c r="C141" s="6"/>
    </row>
    <row r="142" spans="1:3" x14ac:dyDescent="0.3">
      <c r="A142" s="5" t="str">
        <f t="shared" si="6"/>
        <v xml:space="preserve"> </v>
      </c>
      <c r="C142" s="6"/>
    </row>
    <row r="143" spans="1:3" x14ac:dyDescent="0.3">
      <c r="A143" s="5" t="str">
        <f t="shared" si="6"/>
        <v xml:space="preserve"> </v>
      </c>
      <c r="C143" s="6"/>
    </row>
    <row r="144" spans="1:3" x14ac:dyDescent="0.3">
      <c r="A144" s="5" t="str">
        <f t="shared" si="6"/>
        <v xml:space="preserve"> </v>
      </c>
      <c r="C144" s="6"/>
    </row>
    <row r="145" spans="1:3" x14ac:dyDescent="0.3">
      <c r="A145" s="5" t="str">
        <f t="shared" si="6"/>
        <v xml:space="preserve"> </v>
      </c>
      <c r="C145" s="6"/>
    </row>
    <row r="146" spans="1:3" x14ac:dyDescent="0.3">
      <c r="A146" s="5" t="str">
        <f t="shared" si="6"/>
        <v xml:space="preserve"> </v>
      </c>
      <c r="C146" s="6"/>
    </row>
    <row r="147" spans="1:3" x14ac:dyDescent="0.3">
      <c r="A147" s="5" t="str">
        <f t="shared" si="6"/>
        <v xml:space="preserve"> </v>
      </c>
      <c r="C147" s="6"/>
    </row>
    <row r="148" spans="1:3" x14ac:dyDescent="0.3">
      <c r="A148" s="5" t="str">
        <f t="shared" si="6"/>
        <v xml:space="preserve"> </v>
      </c>
      <c r="C148" s="6"/>
    </row>
    <row r="149" spans="1:3" x14ac:dyDescent="0.3">
      <c r="A149" s="5" t="str">
        <f t="shared" si="6"/>
        <v xml:space="preserve"> </v>
      </c>
      <c r="C149" s="6"/>
    </row>
    <row r="150" spans="1:3" x14ac:dyDescent="0.3">
      <c r="A150" s="5" t="str">
        <f t="shared" si="6"/>
        <v xml:space="preserve"> </v>
      </c>
      <c r="C150" s="6"/>
    </row>
    <row r="151" spans="1:3" x14ac:dyDescent="0.3">
      <c r="A151" s="5" t="str">
        <f t="shared" si="6"/>
        <v xml:space="preserve"> </v>
      </c>
      <c r="C151" s="6"/>
    </row>
    <row r="152" spans="1:3" x14ac:dyDescent="0.3">
      <c r="A152" s="5" t="str">
        <f t="shared" si="6"/>
        <v xml:space="preserve"> </v>
      </c>
      <c r="C152" s="6"/>
    </row>
    <row r="153" spans="1:3" x14ac:dyDescent="0.3">
      <c r="A153" s="5" t="str">
        <f t="shared" si="6"/>
        <v xml:space="preserve"> </v>
      </c>
      <c r="C153" s="6"/>
    </row>
    <row r="154" spans="1:3" x14ac:dyDescent="0.3">
      <c r="A154" s="5" t="str">
        <f t="shared" si="6"/>
        <v xml:space="preserve"> </v>
      </c>
      <c r="C15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Lamine Mezali</dc:creator>
  <cp:lastModifiedBy>Mezali, Lamine</cp:lastModifiedBy>
  <dcterms:created xsi:type="dcterms:W3CDTF">2015-06-05T18:17:20Z</dcterms:created>
  <dcterms:modified xsi:type="dcterms:W3CDTF">2025-04-22T22:35:52Z</dcterms:modified>
</cp:coreProperties>
</file>